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Users/simantamazumdar/Downloads/"/>
    </mc:Choice>
  </mc:AlternateContent>
  <xr:revisionPtr revIDLastSave="0" documentId="8_{685BA751-993D-4184-82E3-DB92D3035D6A}" xr6:coauthVersionLast="47" xr6:coauthVersionMax="47" xr10:uidLastSave="{00000000-0000-0000-0000-000000000000}"/>
  <bookViews>
    <workbookView xWindow="0" yWindow="500" windowWidth="28800" windowHeight="16300" firstSheet="1" activeTab="1" xr2:uid="{00000000-000D-0000-FFFF-FFFF00000000}"/>
  </bookViews>
  <sheets>
    <sheet name="Odisha" sheetId="5" r:id="rId1"/>
    <sheet name="Jharkhand" sheetId="6" r:id="rId2"/>
    <sheet name="Karnataka" sheetId="7" r:id="rId3"/>
    <sheet name="Commodities " sheetId="3" state="hidden" r:id="rId4"/>
    <sheet name="Notes" sheetId="4"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AUDidZYKevFYmRXRMNeUce2q7xXQiMfwTMEbtzwvR0="/>
    </ext>
  </extLst>
</workbook>
</file>

<file path=xl/calcChain.xml><?xml version="1.0" encoding="utf-8"?>
<calcChain xmlns="http://schemas.openxmlformats.org/spreadsheetml/2006/main">
  <c r="F27" i="5" l="1"/>
  <c r="F15" i="5"/>
  <c r="E14"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1"/>
        </ext>
      </extLst>
    </bk>
    <bk>
      <extLst>
        <ext uri="{3e2802c4-a4d2-4d8b-9148-e3be6c30e623}">
          <xlrd:rvb i="19"/>
        </ext>
      </extLst>
    </bk>
    <bk>
      <extLst>
        <ext uri="{3e2802c4-a4d2-4d8b-9148-e3be6c30e623}">
          <xlrd:rvb i="27"/>
        </ext>
      </extLst>
    </bk>
    <bk>
      <extLst>
        <ext uri="{3e2802c4-a4d2-4d8b-9148-e3be6c30e623}">
          <xlrd:rvb i="35"/>
        </ext>
      </extLst>
    </bk>
  </futureMetadata>
  <valueMetadata count="5">
    <bk>
      <rc t="1" v="0"/>
    </bk>
    <bk>
      <rc t="1" v="1"/>
    </bk>
    <bk>
      <rc t="1" v="2"/>
    </bk>
    <bk>
      <rc t="1" v="3"/>
    </bk>
    <bk>
      <rc t="1" v="4"/>
    </bk>
  </valueMetadata>
</metadata>
</file>

<file path=xl/sharedStrings.xml><?xml version="1.0" encoding="utf-8"?>
<sst xmlns="http://schemas.openxmlformats.org/spreadsheetml/2006/main" count="152" uniqueCount="85">
  <si>
    <t>ODISHA</t>
  </si>
  <si>
    <t>Sl</t>
  </si>
  <si>
    <t>District</t>
  </si>
  <si>
    <t>Organisation Name</t>
  </si>
  <si>
    <t>Block</t>
  </si>
  <si>
    <t>No. of blocks</t>
  </si>
  <si>
    <t xml:space="preserve">Gram Panchayats </t>
  </si>
  <si>
    <t>Nayagarh</t>
  </si>
  <si>
    <t>NIRMAN</t>
  </si>
  <si>
    <t>Daspalla</t>
  </si>
  <si>
    <t>Kandhamal</t>
  </si>
  <si>
    <t>Tumuribandha</t>
  </si>
  <si>
    <t>Raygada</t>
  </si>
  <si>
    <t>Kalyansinghpur</t>
  </si>
  <si>
    <t>Deogarh</t>
  </si>
  <si>
    <t>Barkote</t>
  </si>
  <si>
    <t>Sundargarh</t>
  </si>
  <si>
    <t>SEWAK</t>
  </si>
  <si>
    <t>Hemgir, Lephripada, Tangarpalli, Sundargarh, Balishankara</t>
  </si>
  <si>
    <t>Kalahandi</t>
  </si>
  <si>
    <t>SEBAJAGAT</t>
  </si>
  <si>
    <t>M. Rampur, Norla, bhabanipatna, Lanjhigarh, Golamunda</t>
  </si>
  <si>
    <t>Keonjhar</t>
  </si>
  <si>
    <t>WOSCA &amp; WASSAN</t>
  </si>
  <si>
    <t xml:space="preserve">Telkui, Harichandanpur, Gatgaon, Patna, Saharpada </t>
  </si>
  <si>
    <t>Koraput</t>
  </si>
  <si>
    <t>WASSAN &amp; its partners</t>
  </si>
  <si>
    <t>Boipariguda</t>
  </si>
  <si>
    <t>As on May 2025</t>
  </si>
  <si>
    <t>M. Rampur, Norla, Bhabanipatna, Lanjhigarh, Golamunda</t>
  </si>
  <si>
    <t>Telkui, Harichandanpur, Gatgaon, Patna, Saharpada , Jhumpara, Banspal</t>
  </si>
  <si>
    <t>No of Blocks</t>
  </si>
  <si>
    <t>East Singhbhum</t>
  </si>
  <si>
    <t>Ghatshila, Dhalbhumgarh, Boram, Patamda, Dumaria, Gurbandha</t>
  </si>
  <si>
    <t>Saraikela Kharswan</t>
  </si>
  <si>
    <t>Kuchai, Kharswan</t>
  </si>
  <si>
    <t>West Singbhum</t>
  </si>
  <si>
    <t>Chaibasa, Khuntpani</t>
  </si>
  <si>
    <t>Hazaribagh</t>
  </si>
  <si>
    <t>Katkamshandi, Barkatha, Daru, Churchu, Dadi</t>
  </si>
  <si>
    <t>Giridh</t>
  </si>
  <si>
    <t>Giridh, Gande, Tisri, Deori</t>
  </si>
  <si>
    <t>Deoghar</t>
  </si>
  <si>
    <t>Devipur</t>
  </si>
  <si>
    <t>Godda</t>
  </si>
  <si>
    <t>Poreyahat, Boarijor, Mahagama, Patthargama, Sundarpahari</t>
  </si>
  <si>
    <t>Pakur</t>
  </si>
  <si>
    <t>Litipara, Amraparam, Hiranpur</t>
  </si>
  <si>
    <t>Sahibganj</t>
  </si>
  <si>
    <t>Taljhari, Rajmahal</t>
  </si>
  <si>
    <t>Chaibasa, Khuntpani, Anandpur</t>
  </si>
  <si>
    <t>Aarohane, FES</t>
  </si>
  <si>
    <t>O.Mitturu, Chintamani</t>
  </si>
  <si>
    <t>Vikasana, Puttannaiah Foundation</t>
  </si>
  <si>
    <t>Melukote, Mandya, Pandavapura</t>
  </si>
  <si>
    <t>Chaitanya Rural development Society</t>
  </si>
  <si>
    <t>Shimoga</t>
  </si>
  <si>
    <t>Mythri Sarva Seva Sansthe</t>
  </si>
  <si>
    <t>Yelahanka</t>
  </si>
  <si>
    <t>Vishala, IRD Bijapur</t>
  </si>
  <si>
    <t>Vijayapura</t>
  </si>
  <si>
    <t>Sr No</t>
  </si>
  <si>
    <t xml:space="preserve">Name of Landscape partner </t>
  </si>
  <si>
    <t xml:space="preserve">State </t>
  </si>
  <si>
    <t xml:space="preserve">No of FPOs </t>
  </si>
  <si>
    <t xml:space="preserve">Commodity </t>
  </si>
  <si>
    <t xml:space="preserve">Location </t>
  </si>
  <si>
    <t xml:space="preserve">Marketable Surplus </t>
  </si>
  <si>
    <t xml:space="preserve">Seasonality </t>
  </si>
  <si>
    <t>WOSKA</t>
  </si>
  <si>
    <t xml:space="preserve">Jackfruit raw </t>
  </si>
  <si>
    <t xml:space="preserve">Keonjhar / Sundergarh </t>
  </si>
  <si>
    <t xml:space="preserve">50 MT </t>
  </si>
  <si>
    <t>April - June</t>
  </si>
  <si>
    <t xml:space="preserve">Jackfruit chips </t>
  </si>
  <si>
    <t xml:space="preserve">5 MT </t>
  </si>
  <si>
    <t xml:space="preserve">Year around </t>
  </si>
  <si>
    <t>Vegetables (Tomato, Okra, Chilli)</t>
  </si>
  <si>
    <t xml:space="preserve">100 MT </t>
  </si>
  <si>
    <t xml:space="preserve">Goatery </t>
  </si>
  <si>
    <t xml:space="preserve">Koraput </t>
  </si>
  <si>
    <t xml:space="preserve">Odisha - Multi district mostly, 
They have chosen 5 blocks to start with but does not limit the engagement in other districts </t>
  </si>
  <si>
    <t>Bolangir district (Koprakol)</t>
  </si>
  <si>
    <t xml:space="preserve">NTFP Collectors , CFC for 
Kandhamal - 
Kandhur dal (niche market - Odia people globally)
Turmeric cultivation - virgin crop - shifting cultivation - rainfed, no fertigation, high curcumin &gt;5 %  color - could not be yellow - similar in araku valley - Every 2 years. 
Requires certification - raising inv in nam of Kalasam sacred herbs and food as entity owns third party certification 
Other MAP, NTFP - Gram Mooligai. 
QCI - Voluntary certification 
demonstrated model for ABS - formed BMCs under CCD , thorugh DFOs - State bio diversity committees 
</t>
  </si>
  <si>
    <t xml:space="preserve">MAPs will begin after monsoon. Harvest will begin post Jan 
Institutional model - Next 10 years 
SOPs - CB for youth on Sustainable Cultivaton, species , seasonal herbs, 
susbstitutes available on market - barefoot botanists - quality and logistics, 
Traceabilility - Pin code - 2 digit - for groups , 3 digit for crops, - Member code - Passport data for end user - 
Transparency - transactions will happen through bank 
ABS - BMS s at district level - diff to work at village level , 
2 % of the sale value - Corporate will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</si>
</sst>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scheme val="minor"/>
    </font>
    <font>
      <b/>
      <sz val="12"/>
      <color theme="1"/>
      <name val="Calibri"/>
      <family val="2"/>
    </font>
    <font>
      <sz val="12"/>
      <color theme="1"/>
      <name val="Aptos Narrow"/>
      <scheme val="minor"/>
    </font>
    <font>
      <sz val="12"/>
      <color theme="1"/>
      <name val="Calibri"/>
      <family val="2"/>
    </font>
    <font>
      <sz val="12"/>
      <color rgb="FF000000"/>
      <name val="Calibri"/>
      <family val="2"/>
    </font>
    <font>
      <sz val="12"/>
      <color theme="1"/>
      <name val="Arial"/>
      <family val="2"/>
    </font>
    <font>
      <b/>
      <sz val="14"/>
      <color rgb="FFFFFFFF"/>
      <name val="Arial"/>
      <family val="2"/>
    </font>
    <font>
      <sz val="14"/>
      <color rgb="FF014174"/>
      <name val="Arial"/>
      <family val="2"/>
    </font>
    <font>
      <b/>
      <sz val="18"/>
      <color theme="1"/>
      <name val="Aptos Narrow"/>
      <scheme val="minor"/>
    </font>
    <font>
      <sz val="8"/>
      <name val="Aptos Narrow"/>
      <scheme val="minor"/>
    </font>
    <font>
      <sz val="12"/>
      <color theme="1"/>
      <name val="Aptos Narrow"/>
      <scheme val="major"/>
    </font>
    <font>
      <sz val="12"/>
      <color rgb="FF014174"/>
      <name val="Aptos Narrow"/>
      <scheme val="major"/>
    </font>
    <font>
      <b/>
      <sz val="12"/>
      <color theme="0"/>
      <name val="Aptos Narrow"/>
      <scheme val="minor"/>
    </font>
    <font>
      <b/>
      <sz val="12"/>
      <color theme="1"/>
      <name val="Aptos Narrow"/>
      <scheme val="minor"/>
    </font>
  </fonts>
  <fills count="9">
    <fill>
      <patternFill patternType="none"/>
    </fill>
    <fill>
      <patternFill patternType="gray125"/>
    </fill>
    <fill>
      <patternFill patternType="solid">
        <fgColor rgb="FFFFFF00"/>
        <bgColor rgb="FFFFFF00"/>
      </patternFill>
    </fill>
    <fill>
      <patternFill patternType="solid">
        <fgColor rgb="FF01579B"/>
        <bgColor indexed="64"/>
      </patternFill>
    </fill>
    <fill>
      <patternFill patternType="solid">
        <fgColor rgb="FFCBD1DE"/>
        <bgColor indexed="64"/>
      </patternFill>
    </fill>
    <fill>
      <patternFill patternType="solid">
        <fgColor rgb="FFE7EAEF"/>
        <bgColor indexed="64"/>
      </patternFill>
    </fill>
    <fill>
      <patternFill patternType="solid">
        <fgColor theme="5" tint="0.79998168889431442"/>
        <bgColor indexed="64"/>
      </patternFill>
    </fill>
    <fill>
      <patternFill patternType="solid">
        <fgColor theme="4"/>
        <bgColor theme="4"/>
      </patternFill>
    </fill>
    <fill>
      <patternFill patternType="solid">
        <fgColor rgb="FFFFFF00"/>
        <bgColor indexed="64"/>
      </patternFill>
    </fill>
  </fills>
  <borders count="17">
    <border>
      <left/>
      <right/>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thick">
        <color rgb="FFFFFFFF"/>
      </top>
      <bottom style="medium">
        <color rgb="FFFFFFFF"/>
      </bottom>
      <diagonal/>
    </border>
    <border>
      <left style="medium">
        <color rgb="FFFFFFFF"/>
      </left>
      <right/>
      <top style="medium">
        <color rgb="FFFFFFFF"/>
      </top>
      <bottom style="medium">
        <color rgb="FFFFFFFF"/>
      </bottom>
      <diagonal/>
    </border>
    <border>
      <left style="medium">
        <color rgb="FFFFFFFF"/>
      </left>
      <right style="medium">
        <color rgb="FFFFFFFF"/>
      </right>
      <top/>
      <bottom style="thick">
        <color rgb="FFFFFFFF"/>
      </bottom>
      <diagonal/>
    </border>
    <border>
      <left style="medium">
        <color rgb="FFFFFFFF"/>
      </left>
      <right/>
      <top/>
      <bottom style="thick">
        <color rgb="FFFFFFFF"/>
      </bottom>
      <diagonal/>
    </border>
    <border>
      <left/>
      <right/>
      <top/>
      <bottom style="double">
        <color rgb="FF000000"/>
      </bottom>
      <diagonal/>
    </border>
    <border>
      <left style="medium">
        <color rgb="FFFFFFFF"/>
      </left>
      <right style="medium">
        <color rgb="FFFFFFFF"/>
      </right>
      <top style="medium">
        <color rgb="FFFFFFFF"/>
      </top>
      <bottom style="double">
        <color rgb="FF000000"/>
      </bottom>
      <diagonal/>
    </border>
    <border>
      <left style="medium">
        <color rgb="FFFFFFFF"/>
      </left>
      <right/>
      <top style="medium">
        <color rgb="FFFFFFFF"/>
      </top>
      <bottom style="double">
        <color rgb="FF000000"/>
      </bottom>
      <diagonal/>
    </border>
    <border>
      <left style="medium">
        <color rgb="FFFFFFFF"/>
      </left>
      <right style="medium">
        <color rgb="FFFFFFFF"/>
      </right>
      <top/>
      <bottom/>
      <diagonal/>
    </border>
    <border>
      <left style="medium">
        <color rgb="FFFFFFFF"/>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s>
  <cellStyleXfs count="1">
    <xf numFmtId="0" fontId="0" fillId="0" borderId="0"/>
  </cellStyleXfs>
  <cellXfs count="38">
    <xf numFmtId="0" fontId="0" fillId="0" borderId="0" xfId="0"/>
    <xf numFmtId="0" fontId="1" fillId="2" borderId="0" xfId="0" applyFont="1" applyFill="1" applyAlignment="1">
      <alignment horizontal="left" vertical="center" wrapText="1"/>
    </xf>
    <xf numFmtId="0" fontId="2" fillId="0" borderId="0" xfId="0" applyFont="1" applyAlignment="1">
      <alignmen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horizontal="center" vertical="center" wrapText="1"/>
    </xf>
    <xf numFmtId="0" fontId="5" fillId="0" borderId="0" xfId="0" applyFont="1" applyAlignment="1">
      <alignment vertical="center"/>
    </xf>
    <xf numFmtId="0" fontId="0" fillId="6" borderId="0" xfId="0" applyFill="1"/>
    <xf numFmtId="0" fontId="8" fillId="6" borderId="0" xfId="0" applyFont="1" applyFill="1"/>
    <xf numFmtId="0" fontId="6" fillId="3" borderId="5" xfId="0" applyFont="1" applyFill="1" applyBorder="1" applyAlignment="1">
      <alignment horizontal="left" vertical="center" wrapText="1" readingOrder="1"/>
    </xf>
    <xf numFmtId="0" fontId="6" fillId="3" borderId="6" xfId="0" applyFont="1" applyFill="1" applyBorder="1" applyAlignment="1">
      <alignment horizontal="left" vertical="center" wrapText="1" readingOrder="1"/>
    </xf>
    <xf numFmtId="0" fontId="10" fillId="0" borderId="0" xfId="0" applyFont="1"/>
    <xf numFmtId="0" fontId="11" fillId="4" borderId="1" xfId="0" applyFont="1" applyFill="1" applyBorder="1" applyAlignment="1">
      <alignment horizontal="left" vertical="center" wrapText="1" readingOrder="1"/>
    </xf>
    <xf numFmtId="0" fontId="11" fillId="4" borderId="3" xfId="0" applyFont="1" applyFill="1" applyBorder="1" applyAlignment="1">
      <alignment horizontal="left" vertical="center" wrapText="1" readingOrder="1"/>
    </xf>
    <xf numFmtId="0" fontId="11" fillId="5" borderId="2" xfId="0" applyFont="1" applyFill="1" applyBorder="1" applyAlignment="1">
      <alignment horizontal="left" vertical="center" wrapText="1" readingOrder="1"/>
    </xf>
    <xf numFmtId="0" fontId="11" fillId="5" borderId="4" xfId="0" applyFont="1" applyFill="1" applyBorder="1" applyAlignment="1">
      <alignment horizontal="left" vertical="center" wrapText="1" readingOrder="1"/>
    </xf>
    <xf numFmtId="0" fontId="11" fillId="4" borderId="2" xfId="0" applyFont="1" applyFill="1" applyBorder="1" applyAlignment="1">
      <alignment horizontal="left" vertical="center" wrapText="1" readingOrder="1"/>
    </xf>
    <xf numFmtId="0" fontId="11" fillId="4" borderId="4" xfId="0" applyFont="1" applyFill="1" applyBorder="1" applyAlignment="1">
      <alignment horizontal="left" vertical="center" wrapText="1" readingOrder="1"/>
    </xf>
    <xf numFmtId="0" fontId="10" fillId="0" borderId="7" xfId="0" applyFont="1" applyBorder="1"/>
    <xf numFmtId="0" fontId="11" fillId="5" borderId="8" xfId="0" applyFont="1" applyFill="1" applyBorder="1" applyAlignment="1">
      <alignment horizontal="left" vertical="center" wrapText="1" readingOrder="1"/>
    </xf>
    <xf numFmtId="0" fontId="11" fillId="5" borderId="9" xfId="0" applyFont="1" applyFill="1" applyBorder="1" applyAlignment="1">
      <alignment horizontal="left" vertical="center" wrapText="1" readingOrder="1"/>
    </xf>
    <xf numFmtId="0" fontId="7" fillId="5" borderId="10" xfId="0" applyFont="1" applyFill="1" applyBorder="1" applyAlignment="1">
      <alignment horizontal="left" vertical="center" wrapText="1" readingOrder="1"/>
    </xf>
    <xf numFmtId="0" fontId="7" fillId="5" borderId="11" xfId="0" applyFont="1" applyFill="1" applyBorder="1" applyAlignment="1">
      <alignment horizontal="left" vertical="center" wrapText="1" readingOrder="1"/>
    </xf>
    <xf numFmtId="0" fontId="12" fillId="7" borderId="12" xfId="0" applyFont="1" applyFill="1" applyBorder="1"/>
    <xf numFmtId="0" fontId="12" fillId="7" borderId="13" xfId="0" applyFont="1" applyFill="1" applyBorder="1"/>
    <xf numFmtId="0" fontId="12" fillId="7" borderId="14" xfId="0" applyFont="1" applyFill="1" applyBorder="1"/>
    <xf numFmtId="0" fontId="0" fillId="0" borderId="12" xfId="0" applyBorder="1"/>
    <xf numFmtId="0" fontId="0" fillId="0" borderId="13" xfId="0" applyBorder="1"/>
    <xf numFmtId="0" fontId="0" fillId="0" borderId="14" xfId="0" applyBorder="1"/>
    <xf numFmtId="0" fontId="13" fillId="8" borderId="0" xfId="0" applyFont="1" applyFill="1"/>
    <xf numFmtId="0" fontId="0" fillId="8" borderId="0" xfId="0" applyFill="1" applyAlignment="1">
      <alignment wrapText="1"/>
    </xf>
    <xf numFmtId="0" fontId="0" fillId="8" borderId="0" xfId="0" applyFill="1"/>
    <xf numFmtId="0" fontId="11" fillId="5" borderId="15" xfId="0" applyFont="1" applyFill="1" applyBorder="1" applyAlignment="1">
      <alignment horizontal="left" vertical="center" wrapText="1" readingOrder="1"/>
    </xf>
    <xf numFmtId="0" fontId="11" fillId="5" borderId="16" xfId="0" applyFont="1" applyFill="1" applyBorder="1" applyAlignment="1">
      <alignment horizontal="left" vertical="center" wrapText="1" readingOrder="1"/>
    </xf>
  </cellXfs>
  <cellStyles count="1">
    <cellStyle name="Normal" xfId="0" builtinId="0"/>
  </cellStyles>
  <dxfs count="34">
    <dxf>
      <font>
        <sz val="12"/>
        <name val="Aptos Narrow"/>
        <scheme val="major"/>
      </font>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sz val="12"/>
        <name val="Aptos Narrow"/>
        <scheme val="major"/>
      </font>
    </dxf>
    <dxf>
      <border outline="0">
        <bottom style="thick">
          <color rgb="FFFFFFFF"/>
        </bottom>
      </border>
    </dxf>
    <dxf>
      <border outline="0">
        <right style="medium">
          <color rgb="FFFFFFFF"/>
        </right>
        <top style="medium">
          <color rgb="FFFFFFFF"/>
        </top>
      </border>
    </dxf>
    <dxf>
      <font>
        <sz val="12"/>
        <name val="Aptos Narrow"/>
        <scheme val="major"/>
      </font>
    </dxf>
    <dxf>
      <font>
        <b/>
        <i val="0"/>
        <strike val="0"/>
        <condense val="0"/>
        <extend val="0"/>
        <outline val="0"/>
        <shadow val="0"/>
        <u val="none"/>
        <vertAlign val="baseline"/>
        <sz val="14"/>
        <color rgb="FFFFFFFF"/>
        <name val="Arial"/>
        <family val="2"/>
        <scheme val="none"/>
      </font>
      <fill>
        <patternFill patternType="solid">
          <fgColor indexed="64"/>
          <bgColor rgb="FF01579B"/>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sz val="12"/>
        <name val="Aptos Narrow"/>
        <scheme val="major"/>
      </font>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top/>
        <bottom/>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sz val="12"/>
        <name val="Aptos Narrow"/>
        <scheme val="major"/>
      </font>
    </dxf>
    <dxf>
      <border outline="0">
        <bottom style="thick">
          <color rgb="FFFFFFFF"/>
        </bottom>
      </border>
    </dxf>
    <dxf>
      <border outline="0">
        <right style="medium">
          <color rgb="FFFFFFFF"/>
        </right>
        <top style="medium">
          <color rgb="FFFFFFFF"/>
        </top>
      </border>
    </dxf>
    <dxf>
      <font>
        <sz val="12"/>
        <name val="Aptos Narrow"/>
        <scheme val="major"/>
      </font>
    </dxf>
    <dxf>
      <font>
        <b/>
        <i val="0"/>
        <strike val="0"/>
        <condense val="0"/>
        <extend val="0"/>
        <outline val="0"/>
        <shadow val="0"/>
        <u val="none"/>
        <vertAlign val="baseline"/>
        <sz val="14"/>
        <color rgb="FFFFFFFF"/>
        <name val="Arial"/>
        <family val="2"/>
        <scheme val="none"/>
      </font>
      <fill>
        <patternFill patternType="solid">
          <fgColor indexed="64"/>
          <bgColor rgb="FF01579B"/>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sz val="12"/>
        <name val="Aptos Narrow"/>
        <scheme val="major"/>
      </font>
    </dxf>
    <dxf>
      <font>
        <sz val="12"/>
        <name val="Aptos Narrow"/>
        <scheme val="major"/>
      </font>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top/>
        <bottom/>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rgb="FF014174"/>
        <name val="Aptos Narrow"/>
        <scheme val="major"/>
      </font>
      <fill>
        <patternFill patternType="solid">
          <fgColor indexed="64"/>
          <bgColor rgb="FFE7EAEF"/>
        </patternFill>
      </fill>
      <alignment horizontal="left"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4"/>
        <color rgb="FF014174"/>
        <name val="Arial"/>
        <family val="2"/>
        <scheme val="none"/>
      </font>
      <fill>
        <patternFill patternType="solid">
          <fgColor indexed="64"/>
          <bgColor rgb="FFE7EAEF"/>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sz val="12"/>
        <name val="Aptos Narrow"/>
        <scheme val="major"/>
      </font>
    </dxf>
    <dxf>
      <border outline="0">
        <bottom style="thick">
          <color rgb="FFFFFFFF"/>
        </bottom>
      </border>
    </dxf>
    <dxf>
      <border outline="0">
        <right style="medium">
          <color rgb="FFFFFFFF"/>
        </right>
        <top style="medium">
          <color rgb="FFFFFFFF"/>
        </top>
      </border>
    </dxf>
    <dxf>
      <font>
        <sz val="12"/>
        <name val="Aptos Narrow"/>
        <scheme val="major"/>
      </font>
    </dxf>
    <dxf>
      <font>
        <b/>
        <i val="0"/>
        <strike val="0"/>
        <condense val="0"/>
        <extend val="0"/>
        <outline val="0"/>
        <shadow val="0"/>
        <u val="none"/>
        <vertAlign val="baseline"/>
        <sz val="14"/>
        <color rgb="FFFFFFFF"/>
        <name val="Arial"/>
        <family val="2"/>
        <scheme val="none"/>
      </font>
      <fill>
        <patternFill patternType="solid">
          <fgColor indexed="64"/>
          <bgColor rgb="FF01579B"/>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11" Type="http://schemas.openxmlformats.org/officeDocument/2006/relationships/sharedStrings" Target="sharedStrings.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2.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 Id="rId22" Type="http://schemas.openxmlformats.org/officeDocument/2006/relationships/customXml" Target="../customXml/item1.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angalore%20Rural%20district" TargetMode="External"/><Relationship Id="rId3" Type="http://schemas.openxmlformats.org/officeDocument/2006/relationships/hyperlink" Target="https://www.bing.com/th?id=OSK.D8MRTCSuXfhC8AiH1F8CAUISyKshMtZyrdYMsGDZZBk&amp;qlt=95" TargetMode="External"/><Relationship Id="rId7" Type="http://schemas.openxmlformats.org/officeDocument/2006/relationships/hyperlink" Target="https://www.bing.com/th?id=OSK.0a5aa99ac61a0a730ba302e8feb74b06&amp;qlt=95" TargetMode="External"/><Relationship Id="rId2" Type="http://schemas.openxmlformats.org/officeDocument/2006/relationships/hyperlink" Target="https://www.bing.com/images/search?form=xlimg&amp;q=Kolar%20district" TargetMode="External"/><Relationship Id="rId1" Type="http://schemas.openxmlformats.org/officeDocument/2006/relationships/hyperlink" Target="https://www.bing.com/th?id=OSK.41c09efe14b98c5be990e78dfcbbe29e&amp;qlt=95" TargetMode="External"/><Relationship Id="rId6" Type="http://schemas.openxmlformats.org/officeDocument/2006/relationships/hyperlink" Target="https://www.bing.com/images/search?form=xlimg&amp;q=Shimoga" TargetMode="External"/><Relationship Id="rId5" Type="http://schemas.openxmlformats.org/officeDocument/2006/relationships/hyperlink" Target="https://www.bing.com/th?id=OSK.DzWrWnok-ivec1oO1pRWQCn7TAdyURbpKhJnkLmMIDI&amp;qlt=95" TargetMode="External"/><Relationship Id="rId10" Type="http://schemas.openxmlformats.org/officeDocument/2006/relationships/hyperlink" Target="https://www.bing.com/images/search?form=xlimg&amp;q=Vijayapura" TargetMode="External"/><Relationship Id="rId4" Type="http://schemas.openxmlformats.org/officeDocument/2006/relationships/hyperlink" Target="https://www.bing.com/images/search?form=xlimg&amp;q=Mandya%20district" TargetMode="External"/><Relationship Id="rId9" Type="http://schemas.openxmlformats.org/officeDocument/2006/relationships/hyperlink" Target="https://www.bing.com/th?id=OSK.158b02b1b8aaab217cba16d2d8cf678e&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
  <a r="1">
    <v t="s">UTC+05:30</v>
  </a>
</arrayData>
</file>

<file path=xl/richData/rdrichvalue.xml><?xml version="1.0" encoding="utf-8"?>
<rvData xmlns="http://schemas.microsoft.com/office/spreadsheetml/2017/richdata" count="43">
  <rv s="0">
    <v>536870912</v>
    <v>Kolar district</v>
    <v>c37f43ba-b4a3-fa3d-5369-7fb34fe0be5a</v>
    <v>en-US</v>
    <v>Map</v>
  </rv>
  <rv s="0">
    <v>536870912</v>
    <v>Karnataka</v>
    <v>216903eb-bbc1-497e-b914-8eb69db6f747</v>
    <v>en-US</v>
    <v>Map</v>
  </rv>
  <rv s="1">
    <fb>4012</fb>
    <v>8</v>
  </rv>
  <rv s="0">
    <v>536870912</v>
    <v>India</v>
    <v>85fa63d3-9596-adb9-b4eb-502273d84f56</v>
    <v>en-US</v>
    <v>Map</v>
  </rv>
  <rv s="2">
    <v>0</v>
    <v>6</v>
    <v>0</v>
    <v>7</v>
    <v>0</v>
    <v>Image of Kolar district</v>
  </rv>
  <rv s="1">
    <fb>13.1333</fb>
    <v>9</v>
  </rv>
  <rv s="3">
    <v>https://www.bing.com/search?q=kolar+district+karnataka&amp;form=skydnc</v>
    <v>Learn more on Bing</v>
  </rv>
  <rv s="1">
    <fb>78.133300000000006</fb>
    <v>9</v>
  </rv>
  <rv s="1">
    <fb>1536401</fb>
    <v>8</v>
  </rv>
  <rv s="4">
    <v>0</v>
  </rv>
  <rv s="5">
    <v>#VALUE!</v>
    <v>en-US</v>
    <v>c37f43ba-b4a3-fa3d-5369-7fb34fe0be5a</v>
    <v>536870912</v>
    <v>1</v>
    <v>1</v>
    <v>2</v>
    <v>Kolar district</v>
    <v>4</v>
    <v>5</v>
    <v>Map</v>
    <v>6</v>
    <v>7</v>
    <v>1</v>
    <v>2</v>
    <v>3</v>
    <v>Kolar district is a district in the state of Karnataka, India. Kolar is the district headquarters. Located in southern Karnataka, it is the state's easternmost district. The district is surrounded by the Bangalore Rural district on the west, ...</v>
    <v>4</v>
    <v>5</v>
    <v>6</v>
    <v>7</v>
    <v>Kolar district</v>
    <v>8</v>
    <v>9</v>
    <v>Kolar district</v>
    <v>mdp/vdpid/7466656456826159105</v>
  </rv>
  <rv s="0">
    <v>536870912</v>
    <v>Mandya district</v>
    <v>452c9dbd-d2d5-b976-ff21-3fd7ae11ef5f</v>
    <v>en-US</v>
    <v>Map</v>
  </rv>
  <rv s="1">
    <fb>4961</fb>
    <v>8</v>
  </rv>
  <rv s="2">
    <v>1</v>
    <v>6</v>
    <v>10</v>
    <v>7</v>
    <v>0</v>
    <v>Image of Mandya district</v>
  </rv>
  <rv s="1">
    <fb>12.52</fb>
    <v>9</v>
  </rv>
  <rv s="3">
    <v>https://www.bing.com/search?q=mandya+district+karnataka&amp;form=skydnc</v>
    <v>Learn more on Bing</v>
  </rv>
  <rv s="1">
    <fb>76.900000000000006</fb>
    <v>9</v>
  </rv>
  <rv s="1">
    <fb>1805769</fb>
    <v>8</v>
  </rv>
  <rv s="5">
    <v>#VALUE!</v>
    <v>en-US</v>
    <v>452c9dbd-d2d5-b976-ff21-3fd7ae11ef5f</v>
    <v>536870912</v>
    <v>1</v>
    <v>11</v>
    <v>2</v>
    <v>Mandya district</v>
    <v>4</v>
    <v>5</v>
    <v>Map</v>
    <v>6</v>
    <v>7</v>
    <v>1</v>
    <v>12</v>
    <v>3</v>
    <v>Mandya district is an administrative district of Karnataka, India.The district Mandya was carved out of larger Mysore district in the year 1939. Mandya is the main town in Mandya district. As of 2011, the district population was 1,808,680.</v>
    <v>13</v>
    <v>14</v>
    <v>15</v>
    <v>16</v>
    <v>Mandya district</v>
    <v>17</v>
    <v>9</v>
    <v>Mandya district</v>
    <v>mdp/vdpid/-7996806714</v>
  </rv>
  <rv s="0">
    <v>536870912</v>
    <v>Shimoga</v>
    <v>7c99abb8-1c28-86f8-77ea-ce3f8aee3065</v>
    <v>en-US</v>
    <v>Map</v>
  </rv>
  <rv s="1">
    <fb>70.010000000000005</fb>
    <v>8</v>
  </rv>
  <rv s="2">
    <v>2</v>
    <v>6</v>
    <v>12</v>
    <v>7</v>
    <v>0</v>
    <v>Image of Shimoga</v>
  </rv>
  <rv s="1">
    <fb>13.916700000000001</fb>
    <v>9</v>
  </rv>
  <rv s="3">
    <v>https://www.bing.com/search?q=shimoga&amp;form=skydnc</v>
    <v>Learn more on Bing</v>
  </rv>
  <rv s="1">
    <fb>75.566699999999997</fb>
    <v>9</v>
  </rv>
  <rv s="1">
    <fb>322650</fb>
    <v>8</v>
  </rv>
  <rv s="6">
    <v>#VALUE!</v>
    <v>en-US</v>
    <v>7c99abb8-1c28-86f8-77ea-ce3f8aee3065</v>
    <v>536870912</v>
    <v>1</v>
    <v>13</v>
    <v>14</v>
    <v>Shimoga</v>
    <v>4</v>
    <v>5</v>
    <v>Map</v>
    <v>6</v>
    <v>7</v>
    <v>20</v>
    <v>3</v>
    <v>Shimoga, officially Shivamogga, is a city and the district headquarters of Shimoga district in the Karnataka state of India. The city lies on the banks of the Tunga River. Being the gateway for the hilly region of the Western Ghats, the city is ...</v>
    <v>21</v>
    <v>22</v>
    <v>23</v>
    <v>24</v>
    <v>Shimoga</v>
    <v>25</v>
    <v>9</v>
    <v>Shimoga</v>
    <v>mdp/vdpid/7466022325037563906</v>
  </rv>
  <rv s="0">
    <v>536870912</v>
    <v>Bangalore Rural district</v>
    <v>90f47024-8960-d80b-8ca2-840a70dc718f</v>
    <v>en-US</v>
    <v>Map</v>
  </rv>
  <rv s="1">
    <fb>2298</fb>
    <v>8</v>
  </rv>
  <rv s="2">
    <v>3</v>
    <v>6</v>
    <v>15</v>
    <v>7</v>
    <v>0</v>
    <v>Image of Bangalore Rural district</v>
  </rv>
  <rv s="1">
    <fb>13.225669999999999</fb>
    <v>9</v>
  </rv>
  <rv s="3">
    <v>https://www.bing.com/search?q=bangalore+rural+district+karnataka&amp;form=skydnc</v>
    <v>Learn more on Bing</v>
  </rv>
  <rv s="1">
    <fb>77.575010000000006</fb>
    <v>9</v>
  </rv>
  <rv s="1">
    <fb>990923</fb>
    <v>8</v>
  </rv>
  <rv s="7">
    <v>#VALUE!</v>
    <v>en-US</v>
    <v>90f47024-8960-d80b-8ca2-840a70dc718f</v>
    <v>536870912</v>
    <v>1</v>
    <v>16</v>
    <v>17</v>
    <v>Bangalore Rural district</v>
    <v>4</v>
    <v>5</v>
    <v>Map</v>
    <v>6</v>
    <v>7</v>
    <v>1</v>
    <v>28</v>
    <v>3</v>
    <v>Bangalore Rural district is one of the 31 districts in Karnataka, India. It was formed in 1986, when Bangalore District was divided into Bangalore Rural and Bangalore Urban. Presently in Bangalore Rural district, there are 4 talukas: ...</v>
    <v>29</v>
    <v>30</v>
    <v>31</v>
    <v>32</v>
    <v>Bangalore Rural district</v>
    <v>33</v>
    <v>Bangalore Rural district</v>
    <v>mdp/vdpid/-7996806822</v>
  </rv>
  <rv s="0">
    <v>536870912</v>
    <v>Vijayapura</v>
    <v>ca6a3a64-ea01-b3c9-8409-24edd83406dd</v>
    <v>en-US</v>
    <v>Map</v>
  </rv>
  <rv s="0">
    <v>536870912</v>
    <v>Bengaluru Rural district</v>
    <v>90f47024-8960-d80b-8ca2-840a70dc718f</v>
    <v>en-US</v>
    <v>Map</v>
  </rv>
  <rv s="2">
    <v>4</v>
    <v>6</v>
    <v>18</v>
    <v>7</v>
    <v>0</v>
    <v>Image of Vijayapura</v>
  </rv>
  <rv s="1">
    <fb>13.29</fb>
    <v>9</v>
  </rv>
  <rv s="3">
    <v>https://www.bing.com/search?q=vijayapura+bangalore+rural+district+india&amp;form=skydnc</v>
    <v>Learn more on Bing</v>
  </rv>
  <rv s="1">
    <fb>77.8</fb>
    <v>9</v>
  </rv>
  <rv s="1">
    <fb>34866</fb>
    <v>8</v>
  </rv>
  <rv s="8">
    <v>#VALUE!</v>
    <v>en-US</v>
    <v>ca6a3a64-ea01-b3c9-8409-24edd83406dd</v>
    <v>536870912</v>
    <v>1</v>
    <v>19</v>
    <v>20</v>
    <v>Vijayapura</v>
    <v>4</v>
    <v>5</v>
    <v>Map</v>
    <v>6</v>
    <v>21</v>
    <v>36</v>
    <v>3</v>
    <v>Vijayapur is a town in Devanahalli taluk and Bangalore Rural district in the Indian state of Karnataka. Vijayapura's old name is Vadigenahalli. Local villagers still refer Vijayapura as Vadigenahalli.</v>
    <v>37</v>
    <v>38</v>
    <v>39</v>
    <v>40</v>
    <v>Vijayapura</v>
    <v>41</v>
    <v>9</v>
    <v>Vijayapura</v>
    <v>mdp/vdpid/7466626055940341761</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4">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Time zone(s)</v>
      <v t="s">_Flags</v>
      <v t="s">VDPID/VSID</v>
      <v t="s">UniqueName</v>
      <v t="s">_DisplayString</v>
      <v t="s">LearnMoreOnLink</v>
      <v t="s">Image</v>
      <v t="s">Description</v>
    </a>
  </spbArrays>
  <spbData count="22">
    <spb s="0">
      <v xml:space="preserve">Wikipedia	</v>
      <v xml:space="preserve">CC BY-SA 3.0	</v>
      <v xml:space="preserve">https://en.wikipedia.org/wiki/Kolar_district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8">
      <v>4</v>
    </spb>
    <spb s="0">
      <v xml:space="preserve">Wikipedia	</v>
      <v xml:space="preserve">CC BY-SA 3.0	</v>
      <v xml:space="preserve">https://en.wikipedia.org/wiki/Mandya_district	</v>
      <v xml:space="preserve">https://creativecommons.org/licenses/by-sa/3.0	</v>
    </spb>
    <spb s="1">
      <v>10</v>
      <v>10</v>
      <v>10</v>
      <v>10</v>
      <v>10</v>
      <v>10</v>
      <v>10</v>
      <v>10</v>
      <v>10</v>
    </spb>
    <spb s="0">
      <v xml:space="preserve">Wikipedia	</v>
      <v xml:space="preserve">CC BY-SA 3.0	</v>
      <v xml:space="preserve">https://en.wikipedia.org/wiki/Shimoga	</v>
      <v xml:space="preserve">https://creativecommons.org/licenses/by-sa/3.0	</v>
    </spb>
    <spb s="9">
      <v>12</v>
      <v>12</v>
      <v>12</v>
      <v>12</v>
      <v>12</v>
      <v>12</v>
      <v>12</v>
      <v>12</v>
    </spb>
    <spb s="2">
      <v>1</v>
      <v>Name</v>
      <v>LearnMoreOnLink</v>
    </spb>
    <spb s="0">
      <v xml:space="preserve">Wikipedia	</v>
      <v xml:space="preserve">CC BY-SA 3.0	</v>
      <v xml:space="preserve">https://en.wikipedia.org/wiki/Bangalore_Rural_district	</v>
      <v xml:space="preserve">https://creativecommons.org/licenses/by-sa/3.0	</v>
    </spb>
    <spb s="1">
      <v>15</v>
      <v>15</v>
      <v>15</v>
      <v>15</v>
      <v>15</v>
      <v>15</v>
      <v>15</v>
      <v>15</v>
      <v>15</v>
    </spb>
    <spb s="2">
      <v>2</v>
      <v>Name</v>
      <v>LearnMoreOnLink</v>
    </spb>
    <spb s="0">
      <v xml:space="preserve">Wikipedia	</v>
      <v xml:space="preserve">CC BY-SA 3.0	</v>
      <v xml:space="preserve">https://en.wikipedia.org/wiki/Vijayapura	</v>
      <v xml:space="preserve">https://creativecommons.org/licenses/by-sa/3.0	</v>
    </spb>
    <spb s="10">
      <v>18</v>
      <v>18</v>
      <v>18</v>
      <v>18</v>
      <v>18</v>
      <v>18</v>
      <v>18</v>
      <v>18</v>
    </spb>
    <spb s="2">
      <v>3</v>
      <v>Name</v>
      <v>LearnMoreOnLink</v>
    </spb>
    <spb s="11">
      <v>2011</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s>
  <s>
    <k n="Name" t="spb"/>
    <k n="Latitude" t="spb"/>
    <k n="Longitude" t="spb"/>
    <k n="Population" t="spb"/>
    <k n="UniqueName" t="spb"/>
    <k n="Description" t="spb"/>
    <k n="Country/region" t="spb"/>
    <k n="Admin Division 2 (County/district/other)" t="spb"/>
  </s>
  <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4B27DC-3C84-E04A-9686-3800E0CFD411}" name="Table2" displayName="Table2" ref="B6:G15" totalsRowCount="1" headerRowDxfId="33" dataDxfId="32" headerRowBorderDxfId="30" tableBorderDxfId="31">
  <autoFilter ref="B6:G14" xr:uid="{FC4B27DC-3C84-E04A-9686-3800E0CFD411}"/>
  <tableColumns count="6">
    <tableColumn id="1" xr3:uid="{733C4809-3387-3643-A1AD-CC51534EF859}" name="Sl" dataDxfId="29"/>
    <tableColumn id="2" xr3:uid="{8B5DCF74-E0B5-224C-A0FA-23953AF7527F}" name="District" dataDxfId="27" totalsRowDxfId="28"/>
    <tableColumn id="3" xr3:uid="{16C86432-F37F-2142-BB29-C60DCDA33B55}" name="Organisation Name" dataDxfId="25" totalsRowDxfId="26"/>
    <tableColumn id="4" xr3:uid="{2B3DC4AA-0EA0-C54D-9BB5-4E0700A8A6CF}" name="Block" dataDxfId="23" totalsRowDxfId="24"/>
    <tableColumn id="5" xr3:uid="{220ACAC7-206A-E340-A7E7-D0C9A4BBA267}" name="No. of blocks" totalsRowFunction="custom" dataDxfId="22">
      <totalsRowFormula>SUM(Table2[No. of blocks])</totalsRowFormula>
    </tableColumn>
    <tableColumn id="6" xr3:uid="{3CAEB852-DF65-4EC0-AEF2-2E7D5223F8C6}" name="Gram Panchayats " dataDxfId="2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981D9-4A77-4D67-BDE9-82606C95E9DA}" name="Table22" displayName="Table22" ref="B18:F27" totalsRowCount="1" headerRowDxfId="20" dataDxfId="19" headerRowBorderDxfId="17" tableBorderDxfId="18">
  <autoFilter ref="B18:F26" xr:uid="{679981D9-4A77-4D67-BDE9-82606C95E9DA}"/>
  <tableColumns count="5">
    <tableColumn id="1" xr3:uid="{82D4EC1D-C15C-42C4-877A-FFC2B9F25CAB}" name="Sl" dataDxfId="16"/>
    <tableColumn id="2" xr3:uid="{99FDF849-A33E-452F-887C-955F42660A82}" name="District" dataDxfId="14" totalsRowDxfId="15"/>
    <tableColumn id="3" xr3:uid="{35F0BE25-54B5-4D92-BCB5-9E23F1020CC5}" name="Organisation Name" dataDxfId="12" totalsRowDxfId="13"/>
    <tableColumn id="4" xr3:uid="{8309CC73-FBD0-4C87-8771-AFEC9B44FE89}" name="Block" dataDxfId="10" totalsRowDxfId="11"/>
    <tableColumn id="5" xr3:uid="{3D68DC62-0EDB-4A42-8CAC-214CC5EFB274}" name="No. of blocks" totalsRowFunction="custom" dataDxfId="9">
      <totalsRowFormula>SUM(Table22[No. of blocks])</totalsRow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9411BB-8689-3D45-966E-4780868E4EA9}" name="Table3" displayName="Table3" ref="B4:E14" totalsRowShown="0">
  <autoFilter ref="B4:E14" xr:uid="{7E9411BB-8689-3D45-966E-4780868E4EA9}"/>
  <tableColumns count="4">
    <tableColumn id="1" xr3:uid="{6E7A4292-A6C4-8C4E-A788-71D34CC49720}" name="Sl"/>
    <tableColumn id="2" xr3:uid="{16A45A87-E1EB-624F-A78D-9A31E673C685}" name="District"/>
    <tableColumn id="3" xr3:uid="{1001D272-5FC0-4345-A566-68A5C5C5F251}" name="Block"/>
    <tableColumn id="4" xr3:uid="{B3AB017B-5AAE-0D45-873E-415FC469292F}" name="No of Block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A7470A-15B9-4093-97F9-04693F1B012E}" name="Table25" displayName="Table25" ref="B2:F11" totalsRowCount="1" headerRowDxfId="8" dataDxfId="7" headerRowBorderDxfId="5" tableBorderDxfId="6">
  <autoFilter ref="B2:F10" xr:uid="{84A7470A-15B9-4093-97F9-04693F1B012E}"/>
  <tableColumns count="5">
    <tableColumn id="1" xr3:uid="{50C54E97-FD34-42C9-BE50-F59830E938A3}" name="Sl" dataDxfId="4"/>
    <tableColumn id="2" xr3:uid="{60A3C298-6EA3-4ED3-BA78-3A1423E20583}" name="District" dataDxfId="3"/>
    <tableColumn id="3" xr3:uid="{858523FC-F754-4D18-ABDB-8AAFBC1A1BA3}" name="Organisation Name" dataDxfId="2"/>
    <tableColumn id="4" xr3:uid="{FDDDE633-C2DF-4FAD-974F-9B2BC18724A8}" name="Block" dataDxfId="1"/>
    <tableColumn id="5" xr3:uid="{896828F4-4ADB-48FA-B3A9-0CE55C451A0E}" name="No. of blocks"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F12E-5588-8040-925C-FD277F6A11EB}">
  <dimension ref="B5:G27"/>
  <sheetViews>
    <sheetView topLeftCell="A6" workbookViewId="0">
      <selection activeCell="I18" sqref="I18"/>
    </sheetView>
  </sheetViews>
  <sheetFormatPr defaultColWidth="11" defaultRowHeight="16.5"/>
  <cols>
    <col min="2" max="2" width="5.375" customWidth="1"/>
    <col min="3" max="3" width="11.375" customWidth="1"/>
    <col min="4" max="4" width="27.5" customWidth="1"/>
    <col min="5" max="5" width="54.875" customWidth="1"/>
  </cols>
  <sheetData>
    <row r="5" spans="2:7" ht="24.75">
      <c r="C5" s="11"/>
      <c r="D5" s="12" t="s">
        <v>0</v>
      </c>
      <c r="E5" s="11"/>
    </row>
    <row r="6" spans="2:7" ht="49.5">
      <c r="B6" s="13" t="s">
        <v>1</v>
      </c>
      <c r="C6" s="13" t="s">
        <v>2</v>
      </c>
      <c r="D6" s="13" t="s">
        <v>3</v>
      </c>
      <c r="E6" s="14" t="s">
        <v>4</v>
      </c>
      <c r="F6" s="13" t="s">
        <v>5</v>
      </c>
      <c r="G6" s="13" t="s">
        <v>6</v>
      </c>
    </row>
    <row r="7" spans="2:7">
      <c r="B7" s="15">
        <v>1</v>
      </c>
      <c r="C7" s="16" t="s">
        <v>7</v>
      </c>
      <c r="D7" s="16" t="s">
        <v>8</v>
      </c>
      <c r="E7" s="17" t="s">
        <v>9</v>
      </c>
      <c r="F7" s="15">
        <v>1</v>
      </c>
      <c r="G7" s="15"/>
    </row>
    <row r="8" spans="2:7">
      <c r="B8" s="15">
        <v>2</v>
      </c>
      <c r="C8" s="18" t="s">
        <v>10</v>
      </c>
      <c r="D8" s="18" t="s">
        <v>8</v>
      </c>
      <c r="E8" s="19" t="s">
        <v>11</v>
      </c>
      <c r="F8" s="15">
        <v>1</v>
      </c>
      <c r="G8" s="15"/>
    </row>
    <row r="9" spans="2:7">
      <c r="B9" s="15">
        <v>3</v>
      </c>
      <c r="C9" s="20" t="s">
        <v>12</v>
      </c>
      <c r="D9" s="20" t="s">
        <v>8</v>
      </c>
      <c r="E9" s="21" t="s">
        <v>13</v>
      </c>
      <c r="F9" s="15">
        <v>1</v>
      </c>
      <c r="G9" s="15"/>
    </row>
    <row r="10" spans="2:7">
      <c r="B10" s="15">
        <v>4</v>
      </c>
      <c r="C10" s="18" t="s">
        <v>14</v>
      </c>
      <c r="D10" s="18" t="s">
        <v>8</v>
      </c>
      <c r="E10" s="19" t="s">
        <v>15</v>
      </c>
      <c r="F10" s="15">
        <v>1</v>
      </c>
      <c r="G10" s="15"/>
    </row>
    <row r="11" spans="2:7">
      <c r="B11" s="15">
        <v>5</v>
      </c>
      <c r="C11" s="20" t="s">
        <v>16</v>
      </c>
      <c r="D11" s="20" t="s">
        <v>17</v>
      </c>
      <c r="E11" s="21" t="s">
        <v>18</v>
      </c>
      <c r="F11" s="15">
        <v>5</v>
      </c>
      <c r="G11" s="15"/>
    </row>
    <row r="12" spans="2:7">
      <c r="B12" s="15">
        <v>6</v>
      </c>
      <c r="C12" s="18" t="s">
        <v>19</v>
      </c>
      <c r="D12" s="18" t="s">
        <v>20</v>
      </c>
      <c r="E12" s="19" t="s">
        <v>21</v>
      </c>
      <c r="F12" s="15">
        <v>5</v>
      </c>
      <c r="G12" s="15"/>
    </row>
    <row r="13" spans="2:7">
      <c r="B13" s="15">
        <v>7</v>
      </c>
      <c r="C13" s="20" t="s">
        <v>22</v>
      </c>
      <c r="D13" s="20" t="s">
        <v>23</v>
      </c>
      <c r="E13" s="21" t="s">
        <v>24</v>
      </c>
      <c r="F13" s="15">
        <v>5</v>
      </c>
      <c r="G13" s="15"/>
    </row>
    <row r="14" spans="2:7">
      <c r="B14" s="22">
        <v>8</v>
      </c>
      <c r="C14" s="23" t="s">
        <v>25</v>
      </c>
      <c r="D14" s="23" t="s">
        <v>26</v>
      </c>
      <c r="E14" s="24" t="s">
        <v>27</v>
      </c>
      <c r="F14" s="15">
        <v>1</v>
      </c>
      <c r="G14" s="15"/>
    </row>
    <row r="15" spans="2:7" ht="18">
      <c r="C15" s="25"/>
      <c r="D15" s="25"/>
      <c r="E15" s="26"/>
      <c r="F15">
        <f>SUM(Table2[No. of blocks])</f>
        <v>20</v>
      </c>
    </row>
    <row r="17" spans="2:6">
      <c r="B17" s="33" t="s">
        <v>28</v>
      </c>
      <c r="C17" s="34"/>
      <c r="D17" s="35"/>
      <c r="E17" s="35"/>
      <c r="F17" s="35"/>
    </row>
    <row r="18" spans="2:6" ht="33.75">
      <c r="B18" s="13" t="s">
        <v>1</v>
      </c>
      <c r="C18" s="13" t="s">
        <v>2</v>
      </c>
      <c r="D18" s="13" t="s">
        <v>3</v>
      </c>
      <c r="E18" s="14" t="s">
        <v>4</v>
      </c>
      <c r="F18" s="13" t="s">
        <v>5</v>
      </c>
    </row>
    <row r="19" spans="2:6">
      <c r="B19" s="15">
        <v>1</v>
      </c>
      <c r="C19" s="16" t="s">
        <v>7</v>
      </c>
      <c r="D19" s="16" t="s">
        <v>8</v>
      </c>
      <c r="E19" s="17" t="s">
        <v>9</v>
      </c>
      <c r="F19" s="15">
        <v>1</v>
      </c>
    </row>
    <row r="20" spans="2:6">
      <c r="B20" s="15">
        <v>2</v>
      </c>
      <c r="C20" s="18" t="s">
        <v>10</v>
      </c>
      <c r="D20" s="18" t="s">
        <v>8</v>
      </c>
      <c r="E20" s="19" t="s">
        <v>11</v>
      </c>
      <c r="F20" s="15">
        <v>1</v>
      </c>
    </row>
    <row r="21" spans="2:6">
      <c r="B21" s="15">
        <v>3</v>
      </c>
      <c r="C21" s="20" t="s">
        <v>12</v>
      </c>
      <c r="D21" s="20" t="s">
        <v>8</v>
      </c>
      <c r="E21" s="21" t="s">
        <v>13</v>
      </c>
      <c r="F21" s="15">
        <v>1</v>
      </c>
    </row>
    <row r="22" spans="2:6">
      <c r="B22" s="15">
        <v>4</v>
      </c>
      <c r="C22" s="18" t="s">
        <v>14</v>
      </c>
      <c r="D22" s="18" t="s">
        <v>8</v>
      </c>
      <c r="E22" s="19" t="s">
        <v>15</v>
      </c>
      <c r="F22" s="15">
        <v>1</v>
      </c>
    </row>
    <row r="23" spans="2:6">
      <c r="B23" s="15">
        <v>5</v>
      </c>
      <c r="C23" s="20" t="s">
        <v>16</v>
      </c>
      <c r="D23" s="20" t="s">
        <v>17</v>
      </c>
      <c r="E23" s="21" t="s">
        <v>18</v>
      </c>
      <c r="F23" s="15">
        <v>5</v>
      </c>
    </row>
    <row r="24" spans="2:6">
      <c r="B24" s="15">
        <v>6</v>
      </c>
      <c r="C24" s="18" t="s">
        <v>19</v>
      </c>
      <c r="D24" s="18" t="s">
        <v>20</v>
      </c>
      <c r="E24" s="19" t="s">
        <v>29</v>
      </c>
      <c r="F24" s="15">
        <v>5</v>
      </c>
    </row>
    <row r="25" spans="2:6" ht="30">
      <c r="B25" s="15">
        <v>7</v>
      </c>
      <c r="C25" s="20" t="s">
        <v>22</v>
      </c>
      <c r="D25" s="20" t="s">
        <v>23</v>
      </c>
      <c r="E25" s="21" t="s">
        <v>30</v>
      </c>
      <c r="F25" s="15">
        <v>7</v>
      </c>
    </row>
    <row r="26" spans="2:6">
      <c r="B26" s="22">
        <v>8</v>
      </c>
      <c r="C26" s="23" t="s">
        <v>25</v>
      </c>
      <c r="D26" s="23" t="s">
        <v>26</v>
      </c>
      <c r="E26" s="24" t="s">
        <v>27</v>
      </c>
      <c r="F26" s="15">
        <v>1</v>
      </c>
    </row>
    <row r="27" spans="2:6" ht="18">
      <c r="C27" s="25"/>
      <c r="D27" s="25"/>
      <c r="E27" s="26"/>
      <c r="F27">
        <f>SUM(Table22[No. of blocks])</f>
        <v>22</v>
      </c>
    </row>
  </sheetData>
  <phoneticPr fontId="9"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5E2B-C512-594A-A4A4-DD0F0760E460}">
  <dimension ref="B4:E27"/>
  <sheetViews>
    <sheetView tabSelected="1" workbookViewId="0">
      <selection activeCell="G18" sqref="G18"/>
    </sheetView>
  </sheetViews>
  <sheetFormatPr defaultColWidth="11" defaultRowHeight="16.5"/>
  <cols>
    <col min="3" max="3" width="25.5" customWidth="1"/>
    <col min="4" max="4" width="56.5" customWidth="1"/>
    <col min="5" max="5" width="13.375" customWidth="1"/>
  </cols>
  <sheetData>
    <row r="4" spans="2:5">
      <c r="B4" t="s">
        <v>1</v>
      </c>
      <c r="C4" t="s">
        <v>2</v>
      </c>
      <c r="D4" t="s">
        <v>4</v>
      </c>
      <c r="E4" t="s">
        <v>31</v>
      </c>
    </row>
    <row r="5" spans="2:5">
      <c r="B5">
        <v>1</v>
      </c>
      <c r="C5" t="s">
        <v>32</v>
      </c>
      <c r="D5" t="s">
        <v>33</v>
      </c>
      <c r="E5">
        <v>6</v>
      </c>
    </row>
    <row r="6" spans="2:5">
      <c r="B6">
        <v>2</v>
      </c>
      <c r="C6" t="s">
        <v>34</v>
      </c>
      <c r="D6" t="s">
        <v>35</v>
      </c>
      <c r="E6">
        <v>2</v>
      </c>
    </row>
    <row r="7" spans="2:5">
      <c r="B7">
        <v>3</v>
      </c>
      <c r="C7" t="s">
        <v>36</v>
      </c>
      <c r="D7" t="s">
        <v>37</v>
      </c>
      <c r="E7">
        <v>2</v>
      </c>
    </row>
    <row r="8" spans="2:5">
      <c r="B8">
        <v>4</v>
      </c>
      <c r="C8" t="s">
        <v>38</v>
      </c>
      <c r="D8" t="s">
        <v>39</v>
      </c>
      <c r="E8">
        <v>5</v>
      </c>
    </row>
    <row r="9" spans="2:5">
      <c r="B9">
        <v>5</v>
      </c>
      <c r="C9" t="s">
        <v>40</v>
      </c>
      <c r="D9" t="s">
        <v>41</v>
      </c>
      <c r="E9">
        <v>4</v>
      </c>
    </row>
    <row r="10" spans="2:5">
      <c r="B10">
        <v>6</v>
      </c>
      <c r="C10" t="s">
        <v>42</v>
      </c>
      <c r="D10" t="s">
        <v>43</v>
      </c>
      <c r="E10">
        <v>1</v>
      </c>
    </row>
    <row r="11" spans="2:5">
      <c r="B11">
        <v>7</v>
      </c>
      <c r="C11" t="s">
        <v>44</v>
      </c>
      <c r="D11" t="s">
        <v>45</v>
      </c>
      <c r="E11">
        <v>5</v>
      </c>
    </row>
    <row r="12" spans="2:5">
      <c r="B12">
        <v>8</v>
      </c>
      <c r="C12" t="s">
        <v>46</v>
      </c>
      <c r="D12" t="s">
        <v>47</v>
      </c>
      <c r="E12">
        <v>3</v>
      </c>
    </row>
    <row r="13" spans="2:5">
      <c r="B13">
        <v>9</v>
      </c>
      <c r="C13" t="s">
        <v>48</v>
      </c>
      <c r="D13" t="s">
        <v>49</v>
      </c>
      <c r="E13">
        <v>2</v>
      </c>
    </row>
    <row r="14" spans="2:5">
      <c r="E14">
        <f>SUM(E5:E13)</f>
        <v>30</v>
      </c>
    </row>
    <row r="16" spans="2:5">
      <c r="B16" s="35" t="s">
        <v>28</v>
      </c>
      <c r="C16" s="35"/>
      <c r="D16" s="35"/>
      <c r="E16" s="35"/>
    </row>
    <row r="17" spans="2:5">
      <c r="B17" s="27" t="s">
        <v>1</v>
      </c>
      <c r="C17" s="28" t="s">
        <v>2</v>
      </c>
      <c r="D17" s="28" t="s">
        <v>4</v>
      </c>
      <c r="E17" s="29" t="s">
        <v>31</v>
      </c>
    </row>
    <row r="18" spans="2:5">
      <c r="B18" s="30">
        <v>1</v>
      </c>
      <c r="C18" s="31" t="s">
        <v>32</v>
      </c>
      <c r="D18" s="31" t="s">
        <v>33</v>
      </c>
      <c r="E18" s="32">
        <v>6</v>
      </c>
    </row>
    <row r="19" spans="2:5">
      <c r="B19" s="30">
        <v>2</v>
      </c>
      <c r="C19" s="31" t="s">
        <v>34</v>
      </c>
      <c r="D19" s="31" t="s">
        <v>35</v>
      </c>
      <c r="E19" s="32">
        <v>2</v>
      </c>
    </row>
    <row r="20" spans="2:5">
      <c r="B20" s="30">
        <v>3</v>
      </c>
      <c r="C20" s="31" t="s">
        <v>36</v>
      </c>
      <c r="D20" s="31" t="s">
        <v>50</v>
      </c>
      <c r="E20" s="32">
        <v>3</v>
      </c>
    </row>
    <row r="21" spans="2:5">
      <c r="B21" s="30">
        <v>4</v>
      </c>
      <c r="C21" s="31" t="s">
        <v>38</v>
      </c>
      <c r="D21" s="31" t="s">
        <v>39</v>
      </c>
      <c r="E21" s="32">
        <v>5</v>
      </c>
    </row>
    <row r="22" spans="2:5">
      <c r="B22" s="30">
        <v>5</v>
      </c>
      <c r="C22" s="31" t="s">
        <v>40</v>
      </c>
      <c r="D22" s="31" t="s">
        <v>41</v>
      </c>
      <c r="E22" s="32">
        <v>4</v>
      </c>
    </row>
    <row r="23" spans="2:5">
      <c r="B23" s="30">
        <v>6</v>
      </c>
      <c r="C23" s="31" t="s">
        <v>42</v>
      </c>
      <c r="D23" s="31" t="s">
        <v>43</v>
      </c>
      <c r="E23" s="32">
        <v>1</v>
      </c>
    </row>
    <row r="24" spans="2:5">
      <c r="B24" s="30">
        <v>7</v>
      </c>
      <c r="C24" s="31" t="s">
        <v>44</v>
      </c>
      <c r="D24" s="31" t="s">
        <v>45</v>
      </c>
      <c r="E24" s="32">
        <v>5</v>
      </c>
    </row>
    <row r="25" spans="2:5">
      <c r="B25" s="30">
        <v>8</v>
      </c>
      <c r="C25" s="31" t="s">
        <v>46</v>
      </c>
      <c r="D25" s="31" t="s">
        <v>47</v>
      </c>
      <c r="E25" s="32">
        <v>3</v>
      </c>
    </row>
    <row r="26" spans="2:5">
      <c r="B26" s="30">
        <v>9</v>
      </c>
      <c r="C26" s="31" t="s">
        <v>48</v>
      </c>
      <c r="D26" s="31" t="s">
        <v>49</v>
      </c>
      <c r="E26" s="32">
        <v>2</v>
      </c>
    </row>
    <row r="27" spans="2:5">
      <c r="E27">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1A85-CB2D-4A11-B5AF-DE75CAB8347B}">
  <dimension ref="B2:F10"/>
  <sheetViews>
    <sheetView workbookViewId="0">
      <selection activeCell="E9" sqref="E9"/>
    </sheetView>
  </sheetViews>
  <sheetFormatPr defaultRowHeight="16.5"/>
  <cols>
    <col min="3" max="3" width="29" customWidth="1"/>
    <col min="4" max="4" width="31.375" bestFit="1" customWidth="1"/>
    <col min="5" max="5" width="29.5" customWidth="1"/>
    <col min="6" max="6" width="22.75" customWidth="1"/>
  </cols>
  <sheetData>
    <row r="2" spans="2:6" ht="17.25">
      <c r="B2" s="13" t="s">
        <v>1</v>
      </c>
      <c r="C2" s="13" t="s">
        <v>2</v>
      </c>
      <c r="D2" s="13" t="s">
        <v>3</v>
      </c>
      <c r="E2" s="14" t="s">
        <v>4</v>
      </c>
      <c r="F2" s="13" t="s">
        <v>5</v>
      </c>
    </row>
    <row r="3" spans="2:6">
      <c r="B3" s="15">
        <v>1</v>
      </c>
      <c r="C3" s="18" t="e" vm="1">
        <v>#VALUE!</v>
      </c>
      <c r="D3" s="18" t="s">
        <v>51</v>
      </c>
      <c r="E3" s="19" t="s">
        <v>52</v>
      </c>
      <c r="F3" s="15"/>
    </row>
    <row r="4" spans="2:6">
      <c r="B4" s="15">
        <v>2</v>
      </c>
      <c r="C4" s="18" t="e" vm="2">
        <v>#VALUE!</v>
      </c>
      <c r="D4" s="18" t="s">
        <v>53</v>
      </c>
      <c r="E4" s="19" t="s">
        <v>54</v>
      </c>
      <c r="F4" s="15"/>
    </row>
    <row r="5" spans="2:6" ht="15.75">
      <c r="B5" s="15">
        <v>3</v>
      </c>
      <c r="C5" s="18" t="e" vm="3">
        <v>#VALUE!</v>
      </c>
      <c r="D5" s="18" t="s">
        <v>55</v>
      </c>
      <c r="E5" s="19" t="s">
        <v>56</v>
      </c>
      <c r="F5" s="15"/>
    </row>
    <row r="6" spans="2:6">
      <c r="B6" s="15">
        <v>4</v>
      </c>
      <c r="C6" s="18" t="e" vm="4">
        <v>#VALUE!</v>
      </c>
      <c r="D6" s="18" t="s">
        <v>57</v>
      </c>
      <c r="E6" s="19" t="s">
        <v>58</v>
      </c>
      <c r="F6" s="15"/>
    </row>
    <row r="7" spans="2:6" ht="15.75">
      <c r="B7" s="15">
        <v>5</v>
      </c>
      <c r="C7" s="18" t="e" vm="5">
        <v>#VALUE!</v>
      </c>
      <c r="D7" s="18" t="s">
        <v>59</v>
      </c>
      <c r="E7" s="19" t="s">
        <v>60</v>
      </c>
      <c r="F7" s="15"/>
    </row>
    <row r="8" spans="2:6" ht="15.75">
      <c r="B8" s="15">
        <v>6</v>
      </c>
      <c r="C8" s="18"/>
      <c r="D8" s="18"/>
      <c r="E8" s="19"/>
      <c r="F8" s="15"/>
    </row>
    <row r="9" spans="2:6">
      <c r="B9" s="15">
        <v>7</v>
      </c>
      <c r="C9" s="18"/>
      <c r="D9" s="18"/>
      <c r="E9" s="19"/>
      <c r="F9" s="15"/>
    </row>
    <row r="10" spans="2:6">
      <c r="B10" s="22">
        <v>8</v>
      </c>
      <c r="C10" s="36"/>
      <c r="D10" s="36"/>
      <c r="E10" s="37"/>
      <c r="F10" s="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2"/>
  <sheetViews>
    <sheetView workbookViewId="0"/>
  </sheetViews>
  <sheetFormatPr defaultColWidth="11.125" defaultRowHeight="15" customHeight="1"/>
  <cols>
    <col min="1" max="1" width="5" customWidth="1"/>
    <col min="2" max="2" width="17.5" customWidth="1"/>
    <col min="5" max="5" width="17.125" customWidth="1"/>
    <col min="6" max="6" width="27" customWidth="1"/>
  </cols>
  <sheetData>
    <row r="1" spans="1:12" ht="15" customHeight="1">
      <c r="A1" s="1" t="s">
        <v>61</v>
      </c>
      <c r="B1" s="1" t="s">
        <v>62</v>
      </c>
      <c r="C1" s="1" t="s">
        <v>63</v>
      </c>
      <c r="D1" s="1" t="s">
        <v>64</v>
      </c>
      <c r="E1" s="1" t="s">
        <v>65</v>
      </c>
      <c r="F1" s="1" t="s">
        <v>66</v>
      </c>
      <c r="G1" s="1" t="s">
        <v>67</v>
      </c>
      <c r="H1" s="1" t="s">
        <v>68</v>
      </c>
    </row>
    <row r="2" spans="1:12" ht="16.5">
      <c r="A2" s="9">
        <v>1</v>
      </c>
      <c r="B2" s="3" t="s">
        <v>69</v>
      </c>
      <c r="C2" s="4"/>
      <c r="D2" s="10">
        <v>1</v>
      </c>
      <c r="E2" s="10" t="s">
        <v>70</v>
      </c>
      <c r="F2" s="10" t="s">
        <v>71</v>
      </c>
      <c r="G2" s="10" t="s">
        <v>72</v>
      </c>
      <c r="H2" s="10" t="s">
        <v>73</v>
      </c>
      <c r="K2" s="5"/>
      <c r="L2" s="5"/>
    </row>
    <row r="3" spans="1:12" ht="16.5">
      <c r="A3" s="9">
        <v>2</v>
      </c>
      <c r="B3" s="3" t="s">
        <v>69</v>
      </c>
      <c r="C3" s="4"/>
      <c r="D3" s="10">
        <v>1</v>
      </c>
      <c r="E3" s="5" t="s">
        <v>74</v>
      </c>
      <c r="F3" s="10" t="s">
        <v>71</v>
      </c>
      <c r="G3" s="5" t="s">
        <v>75</v>
      </c>
      <c r="H3" s="5" t="s">
        <v>76</v>
      </c>
      <c r="K3" s="5"/>
      <c r="L3" s="5"/>
    </row>
    <row r="4" spans="1:12" ht="16.5">
      <c r="A4" s="9">
        <v>3</v>
      </c>
      <c r="B4" s="3" t="s">
        <v>69</v>
      </c>
      <c r="C4" s="4"/>
      <c r="D4" s="10">
        <v>4</v>
      </c>
      <c r="E4" s="5" t="s">
        <v>77</v>
      </c>
      <c r="F4" s="10" t="s">
        <v>71</v>
      </c>
      <c r="G4" s="5" t="s">
        <v>78</v>
      </c>
      <c r="H4" s="10" t="s">
        <v>73</v>
      </c>
      <c r="L4" s="5"/>
    </row>
    <row r="5" spans="1:12" ht="16.5">
      <c r="A5" s="9">
        <v>4</v>
      </c>
      <c r="B5" s="3" t="s">
        <v>69</v>
      </c>
      <c r="C5" s="4"/>
      <c r="D5" s="10">
        <v>1</v>
      </c>
      <c r="E5" s="5" t="s">
        <v>79</v>
      </c>
      <c r="F5" s="10" t="s">
        <v>71</v>
      </c>
    </row>
    <row r="6" spans="1:12" ht="16.5">
      <c r="A6" s="9">
        <v>5</v>
      </c>
      <c r="B6" s="3" t="s">
        <v>80</v>
      </c>
      <c r="C6" s="4"/>
      <c r="D6" s="2"/>
      <c r="K6" s="5"/>
    </row>
    <row r="8" spans="1:12" ht="16.5">
      <c r="A8" s="3"/>
      <c r="B8" s="3"/>
      <c r="C8" s="4"/>
      <c r="D8" s="2"/>
    </row>
    <row r="9" spans="1:12" ht="16.5">
      <c r="A9" s="3"/>
      <c r="B9" s="3"/>
      <c r="C9" s="4"/>
      <c r="D9" s="2"/>
    </row>
    <row r="10" spans="1:12" ht="16.5">
      <c r="A10" s="3"/>
      <c r="B10" s="3"/>
      <c r="C10" s="4"/>
      <c r="D10" s="2"/>
    </row>
    <row r="11" spans="1:12" ht="16.5">
      <c r="A11" s="3"/>
      <c r="B11" s="3"/>
      <c r="C11" s="4"/>
      <c r="D11" s="2"/>
    </row>
    <row r="12" spans="1:12" ht="16.5">
      <c r="A12" s="3"/>
      <c r="B12" s="3"/>
      <c r="C12" s="4"/>
      <c r="D12" s="2"/>
    </row>
    <row r="13" spans="1:12" ht="16.5">
      <c r="A13" s="3"/>
      <c r="B13" s="3"/>
      <c r="C13" s="4"/>
      <c r="D13" s="2"/>
    </row>
    <row r="14" spans="1:12" ht="16.5">
      <c r="A14" s="3"/>
      <c r="B14" s="3"/>
      <c r="C14" s="4"/>
      <c r="D14" s="2"/>
    </row>
    <row r="15" spans="1:12" ht="16.5">
      <c r="A15" s="3"/>
      <c r="B15" s="3"/>
      <c r="C15" s="4"/>
      <c r="D15" s="2"/>
    </row>
    <row r="16" spans="1:12" ht="16.5">
      <c r="A16" s="3"/>
      <c r="B16" s="3"/>
      <c r="C16" s="4"/>
      <c r="D16" s="2"/>
    </row>
    <row r="17" spans="1:4" ht="16.5">
      <c r="A17" s="3"/>
      <c r="B17" s="3"/>
      <c r="C17" s="4"/>
      <c r="D17" s="2"/>
    </row>
    <row r="18" spans="1:4" ht="16.5">
      <c r="A18" s="3"/>
      <c r="B18" s="3"/>
      <c r="C18" s="4"/>
      <c r="D18" s="2"/>
    </row>
    <row r="19" spans="1:4" ht="16.5">
      <c r="A19" s="3"/>
      <c r="B19" s="3"/>
      <c r="C19" s="4"/>
      <c r="D19" s="2"/>
    </row>
    <row r="20" spans="1:4" ht="16.5">
      <c r="A20" s="3"/>
      <c r="B20" s="3"/>
      <c r="C20" s="4"/>
      <c r="D20" s="2"/>
    </row>
    <row r="21" spans="1:4" ht="16.5">
      <c r="A21" s="3"/>
      <c r="B21" s="3"/>
      <c r="C21" s="4"/>
      <c r="D21" s="2"/>
    </row>
    <row r="22" spans="1:4" ht="16.5">
      <c r="A22" s="3"/>
      <c r="B22" s="3"/>
      <c r="C22" s="4"/>
      <c r="D22" s="2"/>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
  <sheetViews>
    <sheetView workbookViewId="0"/>
  </sheetViews>
  <sheetFormatPr defaultColWidth="11.125" defaultRowHeight="15" customHeight="1"/>
  <cols>
    <col min="5" max="5" width="60.5" customWidth="1"/>
  </cols>
  <sheetData>
    <row r="1" spans="1:5" ht="15" customHeight="1">
      <c r="A1" s="9"/>
      <c r="B1" s="6" t="s">
        <v>81</v>
      </c>
      <c r="C1" s="6"/>
      <c r="D1" s="6" t="s">
        <v>82</v>
      </c>
      <c r="E1" s="6" t="s">
        <v>83</v>
      </c>
    </row>
    <row r="2" spans="1:5" ht="147.75">
      <c r="A2" s="8"/>
      <c r="B2" s="7"/>
      <c r="C2" s="7"/>
      <c r="D2" s="7"/>
      <c r="E2" s="7" t="s">
        <v>84</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F9EA4241095B41957E0E6E375B72BC" ma:contentTypeVersion="15" ma:contentTypeDescription="Create a new document." ma:contentTypeScope="" ma:versionID="edc51e789c3ea6e528ba43a0621bed40">
  <xsd:schema xmlns:xsd="http://www.w3.org/2001/XMLSchema" xmlns:xs="http://www.w3.org/2001/XMLSchema" xmlns:p="http://schemas.microsoft.com/office/2006/metadata/properties" xmlns:ns2="c30ae087-37e9-46a6-8008-5b0ccd955a2c" xmlns:ns3="3c93771d-741c-4939-902e-16aae10c58ea" targetNamespace="http://schemas.microsoft.com/office/2006/metadata/properties" ma:root="true" ma:fieldsID="b1a9cce81686804d50d53be3ca33101a" ns2:_="" ns3:_="">
    <xsd:import namespace="c30ae087-37e9-46a6-8008-5b0ccd955a2c"/>
    <xsd:import namespace="3c93771d-741c-4939-902e-16aae10c58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ae087-37e9-46a6-8008-5b0ccd955a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d1eef9e-31a3-4dfc-aaec-737cd6051fc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93771d-741c-4939-902e-16aae10c58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69c4ac-00b0-4c01-8889-41d49ee1df93}" ma:internalName="TaxCatchAll" ma:showField="CatchAllData" ma:web="3c93771d-741c-4939-902e-16aae10c58e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ae087-37e9-46a6-8008-5b0ccd955a2c">
      <Terms xmlns="http://schemas.microsoft.com/office/infopath/2007/PartnerControls"/>
    </lcf76f155ced4ddcb4097134ff3c332f>
    <TaxCatchAll xmlns="3c93771d-741c-4939-902e-16aae10c58ea" xsi:nil="true"/>
  </documentManagement>
</p:properties>
</file>

<file path=customXml/itemProps1.xml><?xml version="1.0" encoding="utf-8"?>
<ds:datastoreItem xmlns:ds="http://schemas.openxmlformats.org/officeDocument/2006/customXml" ds:itemID="{9147A3C5-A556-448F-9CFB-FEAEA882C637}"/>
</file>

<file path=customXml/itemProps2.xml><?xml version="1.0" encoding="utf-8"?>
<ds:datastoreItem xmlns:ds="http://schemas.openxmlformats.org/officeDocument/2006/customXml" ds:itemID="{EA051833-37C8-4427-BD22-6A70EA739158}"/>
</file>

<file path=customXml/itemProps3.xml><?xml version="1.0" encoding="utf-8"?>
<ds:datastoreItem xmlns:ds="http://schemas.openxmlformats.org/officeDocument/2006/customXml" ds:itemID="{F27EF8AD-15A2-4416-B44C-5E501437B5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Simanta Mazumdar</dc:creator>
  <cp:keywords/>
  <dc:description/>
  <cp:lastModifiedBy/>
  <cp:revision/>
  <dcterms:created xsi:type="dcterms:W3CDTF">2024-11-15T08:16:38Z</dcterms:created>
  <dcterms:modified xsi:type="dcterms:W3CDTF">2026-07-06T11:31:51Z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0x01010056F9EA4241095B41957E0E6E375B72BC</vt:lpwstr>
  </property>
  <property fmtid="{D5CDD505-2E9C-101B-9397-08002B2CF9AE}" pid="3" name="MediaServiceImageTags">
    <vt:lpwstr/>
  </property>
</Properties>
</file>